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go\OneDrive\Рабочий стол\5 СЕМЕСТР\ТВ\Домашки\"/>
    </mc:Choice>
  </mc:AlternateContent>
  <bookViews>
    <workbookView xWindow="0" yWindow="0" windowWidth="22260" windowHeight="12648" activeTab="1"/>
  </bookViews>
  <sheets>
    <sheet name="3.27" sheetId="1" r:id="rId1"/>
    <sheet name="3.29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3" l="1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B9" i="3"/>
  <c r="E14" i="3" l="1"/>
  <c r="D14" i="3"/>
  <c r="C14" i="3"/>
  <c r="B14" i="3"/>
  <c r="E13" i="3"/>
  <c r="D13" i="3"/>
  <c r="C13" i="3"/>
  <c r="B13" i="3"/>
  <c r="D14" i="1"/>
  <c r="G14" i="1"/>
  <c r="F14" i="1"/>
  <c r="E14" i="1"/>
  <c r="C14" i="1"/>
  <c r="B14" i="1"/>
  <c r="G13" i="1"/>
  <c r="F13" i="1"/>
  <c r="E13" i="1"/>
  <c r="D13" i="1"/>
  <c r="C13" i="1"/>
  <c r="B13" i="1"/>
  <c r="G9" i="1"/>
  <c r="F9" i="1"/>
  <c r="E9" i="1"/>
  <c r="D9" i="1"/>
  <c r="C9" i="1"/>
  <c r="B9" i="1"/>
  <c r="B11" i="3" l="1"/>
  <c r="D11" i="3"/>
  <c r="H9" i="1"/>
  <c r="B11" i="1"/>
  <c r="F11" i="3" l="1"/>
  <c r="G12" i="3" s="1"/>
  <c r="D11" i="1"/>
  <c r="F11" i="1" s="1"/>
  <c r="G12" i="1" s="1"/>
</calcChain>
</file>

<file path=xl/sharedStrings.xml><?xml version="1.0" encoding="utf-8"?>
<sst xmlns="http://schemas.openxmlformats.org/spreadsheetml/2006/main" count="24" uniqueCount="12">
  <si>
    <t>p=</t>
  </si>
  <si>
    <t>q=</t>
  </si>
  <si>
    <t>n=</t>
  </si>
  <si>
    <t>xi</t>
  </si>
  <si>
    <t>pi</t>
  </si>
  <si>
    <t>M(X)=</t>
  </si>
  <si>
    <t>M(X^2)</t>
  </si>
  <si>
    <t>D(X)=</t>
  </si>
  <si>
    <t>σ(X)=</t>
  </si>
  <si>
    <t>xi^2</t>
  </si>
  <si>
    <t>№3.27</t>
  </si>
  <si>
    <t>№3.29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</si>
</sst>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4"/>
  <sheetViews>
    <sheetView workbookViewId="0">
      <selection activeCell="D26" sqref="D26"/>
    </sheetView>
  </sheetViews>
  <sheetFormatPr defaultRowHeight="14.4" x14ac:dyDescent="0.3"/>
  <sheetData>
    <row r="3" spans="1:8" x14ac:dyDescent="0.3">
      <c r="A3" s="1" t="s">
        <v>10</v>
      </c>
    </row>
    <row r="4" spans="1:8" x14ac:dyDescent="0.3">
      <c r="A4" s="2" t="s">
        <v>0</v>
      </c>
      <c r="B4">
        <v>0.1</v>
      </c>
    </row>
    <row r="5" spans="1:8" x14ac:dyDescent="0.3">
      <c r="A5" s="2" t="s">
        <v>1</v>
      </c>
      <c r="B5">
        <v>0.9</v>
      </c>
    </row>
    <row r="6" spans="1:8" x14ac:dyDescent="0.3">
      <c r="A6" s="2" t="s">
        <v>2</v>
      </c>
      <c r="B6">
        <v>5</v>
      </c>
    </row>
    <row r="8" spans="1:8" x14ac:dyDescent="0.3">
      <c r="A8" s="2" t="s">
        <v>3</v>
      </c>
      <c r="B8" s="2">
        <v>0</v>
      </c>
      <c r="C8" s="2">
        <v>1</v>
      </c>
      <c r="D8" s="2">
        <v>2</v>
      </c>
      <c r="E8" s="2">
        <v>3</v>
      </c>
      <c r="F8" s="2">
        <v>4</v>
      </c>
      <c r="G8" s="2">
        <v>5</v>
      </c>
    </row>
    <row r="9" spans="1:8" x14ac:dyDescent="0.3">
      <c r="A9" s="2" t="s">
        <v>4</v>
      </c>
      <c r="B9">
        <f>COMBIN($B$6,B$8)*$B$4^B$8*$B$5^($B$6-B$8)</f>
        <v>0.59049000000000018</v>
      </c>
      <c r="C9">
        <f t="shared" ref="C9:G9" si="0">COMBIN($B$6,C$8)*$B$4^C$8*$B$5^($B$6-C$8)</f>
        <v>0.32805000000000006</v>
      </c>
      <c r="D9">
        <f t="shared" si="0"/>
        <v>7.290000000000002E-2</v>
      </c>
      <c r="E9">
        <f t="shared" si="0"/>
        <v>8.1000000000000013E-3</v>
      </c>
      <c r="F9">
        <f t="shared" si="0"/>
        <v>4.500000000000002E-4</v>
      </c>
      <c r="G9">
        <f t="shared" si="0"/>
        <v>1.0000000000000006E-5</v>
      </c>
      <c r="H9">
        <f>SUM(B9:G9)</f>
        <v>1.0000000000000002</v>
      </c>
    </row>
    <row r="11" spans="1:8" x14ac:dyDescent="0.3">
      <c r="A11" s="3" t="s">
        <v>5</v>
      </c>
      <c r="B11">
        <f>SUMPRODUCT(B9:G9,B8:G8)</f>
        <v>0.50000000000000011</v>
      </c>
      <c r="C11" s="3" t="s">
        <v>6</v>
      </c>
      <c r="D11">
        <f>SUMPRODUCT(B13:G13,B14:G14)</f>
        <v>0.70000000000000007</v>
      </c>
      <c r="E11" s="4" t="s">
        <v>7</v>
      </c>
      <c r="F11">
        <f>D11-B11^2</f>
        <v>0.44999999999999996</v>
      </c>
    </row>
    <row r="12" spans="1:8" x14ac:dyDescent="0.3">
      <c r="F12" s="5" t="s">
        <v>8</v>
      </c>
      <c r="G12">
        <f>SQRT(F11)</f>
        <v>0.67082039324993692</v>
      </c>
    </row>
    <row r="13" spans="1:8" x14ac:dyDescent="0.3">
      <c r="A13" s="2" t="s">
        <v>9</v>
      </c>
      <c r="B13" s="2">
        <f>B8*B8</f>
        <v>0</v>
      </c>
      <c r="C13" s="2">
        <f t="shared" ref="C13:G13" si="1">C8*C8</f>
        <v>1</v>
      </c>
      <c r="D13" s="2">
        <f t="shared" si="1"/>
        <v>4</v>
      </c>
      <c r="E13" s="2">
        <f t="shared" si="1"/>
        <v>9</v>
      </c>
      <c r="F13" s="2">
        <f t="shared" si="1"/>
        <v>16</v>
      </c>
      <c r="G13" s="2">
        <f t="shared" si="1"/>
        <v>25</v>
      </c>
    </row>
    <row r="14" spans="1:8" x14ac:dyDescent="0.3">
      <c r="A14" s="2" t="s">
        <v>4</v>
      </c>
      <c r="B14">
        <f>COMBIN($B$6,B$8)*$B$4^B$8*$B$5^($B$6-B$8)</f>
        <v>0.59049000000000018</v>
      </c>
      <c r="C14">
        <f t="shared" ref="C14:G14" si="2">COMBIN($B$6,C$8)*$B$4^C$8*$B$5^($B$6-C$8)</f>
        <v>0.32805000000000006</v>
      </c>
      <c r="D14">
        <f t="shared" si="2"/>
        <v>7.290000000000002E-2</v>
      </c>
      <c r="E14">
        <f t="shared" si="2"/>
        <v>8.1000000000000013E-3</v>
      </c>
      <c r="F14">
        <f t="shared" si="2"/>
        <v>4.500000000000002E-4</v>
      </c>
      <c r="G14">
        <f t="shared" si="2"/>
        <v>1.0000000000000006E-5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4"/>
  <sheetViews>
    <sheetView tabSelected="1" topLeftCell="A8" workbookViewId="0">
      <selection activeCell="I16" sqref="I16"/>
    </sheetView>
  </sheetViews>
  <sheetFormatPr defaultRowHeight="14.4" x14ac:dyDescent="0.3"/>
  <sheetData>
    <row r="3" spans="1:21" x14ac:dyDescent="0.3">
      <c r="A3" s="1" t="s">
        <v>11</v>
      </c>
    </row>
    <row r="4" spans="1:21" x14ac:dyDescent="0.3">
      <c r="A4" s="2" t="s">
        <v>0</v>
      </c>
      <c r="B4">
        <v>0.1</v>
      </c>
    </row>
    <row r="5" spans="1:21" x14ac:dyDescent="0.3">
      <c r="A5" s="2" t="s">
        <v>1</v>
      </c>
      <c r="B5">
        <v>0.9</v>
      </c>
    </row>
    <row r="6" spans="1:21" x14ac:dyDescent="0.3">
      <c r="A6" s="2" t="s">
        <v>2</v>
      </c>
      <c r="B6">
        <v>19</v>
      </c>
    </row>
    <row r="8" spans="1:21" x14ac:dyDescent="0.3">
      <c r="A8" s="2" t="s">
        <v>3</v>
      </c>
      <c r="B8" s="2">
        <v>0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2">
        <v>12</v>
      </c>
      <c r="O8" s="2">
        <v>13</v>
      </c>
      <c r="P8" s="2">
        <v>14</v>
      </c>
      <c r="Q8" s="2">
        <v>15</v>
      </c>
      <c r="R8" s="2">
        <v>16</v>
      </c>
      <c r="S8" s="2">
        <v>17</v>
      </c>
      <c r="T8" s="2">
        <v>18</v>
      </c>
      <c r="U8" s="2">
        <v>19</v>
      </c>
    </row>
    <row r="9" spans="1:21" x14ac:dyDescent="0.3">
      <c r="A9" s="2" t="s">
        <v>4</v>
      </c>
      <c r="B9">
        <f>COMBIN($B$6,B$8)*$B$4^B$8*$B$5^($B$6-B$8)</f>
        <v>0.13508517176729934</v>
      </c>
      <c r="C9">
        <f t="shared" ref="C9:U9" si="0">COMBIN($B$6,C$8)*$B$4^C$8*$B$5^($B$6-C$8)</f>
        <v>0.28517980706429857</v>
      </c>
      <c r="D9">
        <f t="shared" si="0"/>
        <v>0.28517980706429863</v>
      </c>
      <c r="E9">
        <f t="shared" si="0"/>
        <v>0.17955765629974357</v>
      </c>
      <c r="F9">
        <f t="shared" si="0"/>
        <v>7.9803402799886042E-2</v>
      </c>
      <c r="G9">
        <f t="shared" si="0"/>
        <v>2.6601134266628683E-2</v>
      </c>
      <c r="H9">
        <f t="shared" si="0"/>
        <v>6.8965903654222525E-3</v>
      </c>
      <c r="I9">
        <f t="shared" si="0"/>
        <v>1.423105948420465E-3</v>
      </c>
      <c r="J9">
        <f t="shared" si="0"/>
        <v>2.3718432473674407E-4</v>
      </c>
      <c r="K9">
        <f t="shared" si="0"/>
        <v>3.2210216939557842E-5</v>
      </c>
      <c r="L9">
        <f t="shared" si="0"/>
        <v>3.5789129932842051E-6</v>
      </c>
      <c r="M9">
        <f t="shared" si="0"/>
        <v>3.2535572666220041E-7</v>
      </c>
      <c r="N9">
        <f t="shared" si="0"/>
        <v>2.4100424197200047E-8</v>
      </c>
      <c r="O9">
        <f t="shared" si="0"/>
        <v>1.4419057212000025E-9</v>
      </c>
      <c r="P9">
        <f t="shared" si="0"/>
        <v>6.8662177200000118E-11</v>
      </c>
      <c r="Q9">
        <f t="shared" si="0"/>
        <v>2.5430436000000049E-12</v>
      </c>
      <c r="R9">
        <f t="shared" si="0"/>
        <v>7.0640100000000123E-14</v>
      </c>
      <c r="S9">
        <f t="shared" si="0"/>
        <v>1.3851000000000025E-15</v>
      </c>
      <c r="T9">
        <f t="shared" si="0"/>
        <v>1.7100000000000031E-17</v>
      </c>
      <c r="U9">
        <f t="shared" si="0"/>
        <v>1.0000000000000019E-19</v>
      </c>
    </row>
    <row r="11" spans="1:21" x14ac:dyDescent="0.3">
      <c r="A11" s="3" t="s">
        <v>5</v>
      </c>
      <c r="B11">
        <f>SUMPRODUCT(B9:G9,B8:G8)</f>
        <v>1.8464316726248142</v>
      </c>
      <c r="C11" s="3" t="s">
        <v>6</v>
      </c>
      <c r="D11">
        <f>SUMPRODUCT(B13:G13,B14:G14)</f>
        <v>4.9838007434830782</v>
      </c>
      <c r="E11" s="4" t="s">
        <v>7</v>
      </c>
      <c r="F11">
        <f>D11-B11^2</f>
        <v>1.574490821811009</v>
      </c>
    </row>
    <row r="12" spans="1:21" x14ac:dyDescent="0.3">
      <c r="F12" s="5" t="s">
        <v>8</v>
      </c>
      <c r="G12">
        <f>SQRT(F11)</f>
        <v>1.2547871619565643</v>
      </c>
    </row>
    <row r="13" spans="1:21" x14ac:dyDescent="0.3">
      <c r="A13" s="2" t="s">
        <v>9</v>
      </c>
      <c r="B13" s="2">
        <f>B8*B8</f>
        <v>0</v>
      </c>
      <c r="C13" s="2">
        <f t="shared" ref="C13:U13" si="1">C8*C8</f>
        <v>1</v>
      </c>
      <c r="D13" s="2">
        <f t="shared" si="1"/>
        <v>4</v>
      </c>
      <c r="E13" s="2">
        <f t="shared" si="1"/>
        <v>9</v>
      </c>
      <c r="F13" s="2">
        <f t="shared" si="1"/>
        <v>16</v>
      </c>
      <c r="G13" s="2">
        <f t="shared" si="1"/>
        <v>25</v>
      </c>
      <c r="H13" s="2">
        <f t="shared" si="1"/>
        <v>36</v>
      </c>
      <c r="I13" s="2">
        <f t="shared" si="1"/>
        <v>49</v>
      </c>
      <c r="J13" s="2">
        <f t="shared" si="1"/>
        <v>64</v>
      </c>
      <c r="K13" s="2">
        <f t="shared" si="1"/>
        <v>81</v>
      </c>
      <c r="L13" s="2">
        <f t="shared" si="1"/>
        <v>100</v>
      </c>
      <c r="M13" s="2">
        <f t="shared" si="1"/>
        <v>121</v>
      </c>
      <c r="N13" s="2">
        <f t="shared" si="1"/>
        <v>144</v>
      </c>
      <c r="O13" s="2">
        <f t="shared" si="1"/>
        <v>169</v>
      </c>
      <c r="P13" s="2">
        <f t="shared" si="1"/>
        <v>196</v>
      </c>
      <c r="Q13" s="2">
        <f t="shared" si="1"/>
        <v>225</v>
      </c>
      <c r="R13" s="2">
        <f t="shared" si="1"/>
        <v>256</v>
      </c>
      <c r="S13" s="2">
        <f t="shared" si="1"/>
        <v>289</v>
      </c>
      <c r="T13" s="2">
        <f t="shared" si="1"/>
        <v>324</v>
      </c>
      <c r="U13" s="2">
        <f t="shared" si="1"/>
        <v>361</v>
      </c>
    </row>
    <row r="14" spans="1:21" x14ac:dyDescent="0.3">
      <c r="A14" s="2" t="s">
        <v>4</v>
      </c>
      <c r="B14">
        <f>COMBIN($B$6,B$8)*$B$4^B$8*$B$5^($B$6-B$8)</f>
        <v>0.13508517176729934</v>
      </c>
      <c r="C14">
        <f t="shared" ref="C14:U14" si="2">COMBIN($B$6,C$8)*$B$4^C$8*$B$5^($B$6-C$8)</f>
        <v>0.28517980706429857</v>
      </c>
      <c r="D14">
        <f t="shared" si="2"/>
        <v>0.28517980706429863</v>
      </c>
      <c r="E14">
        <f t="shared" si="2"/>
        <v>0.17955765629974357</v>
      </c>
      <c r="F14">
        <f t="shared" si="2"/>
        <v>7.9803402799886042E-2</v>
      </c>
      <c r="G14">
        <f t="shared" si="2"/>
        <v>2.6601134266628683E-2</v>
      </c>
      <c r="H14">
        <f t="shared" si="2"/>
        <v>6.8965903654222525E-3</v>
      </c>
      <c r="I14">
        <f t="shared" si="2"/>
        <v>1.423105948420465E-3</v>
      </c>
      <c r="J14">
        <f t="shared" si="2"/>
        <v>2.3718432473674407E-4</v>
      </c>
      <c r="K14">
        <f t="shared" si="2"/>
        <v>3.2210216939557842E-5</v>
      </c>
      <c r="L14">
        <f t="shared" si="2"/>
        <v>3.5789129932842051E-6</v>
      </c>
      <c r="M14">
        <f t="shared" si="2"/>
        <v>3.2535572666220041E-7</v>
      </c>
      <c r="N14">
        <f t="shared" si="2"/>
        <v>2.4100424197200047E-8</v>
      </c>
      <c r="O14">
        <f t="shared" si="2"/>
        <v>1.4419057212000025E-9</v>
      </c>
      <c r="P14">
        <f t="shared" si="2"/>
        <v>6.8662177200000118E-11</v>
      </c>
      <c r="Q14">
        <f t="shared" si="2"/>
        <v>2.5430436000000049E-12</v>
      </c>
      <c r="R14">
        <f t="shared" si="2"/>
        <v>7.0640100000000123E-14</v>
      </c>
      <c r="S14">
        <f t="shared" si="2"/>
        <v>1.3851000000000025E-15</v>
      </c>
      <c r="T14">
        <f t="shared" si="2"/>
        <v>1.7100000000000031E-17</v>
      </c>
      <c r="U14">
        <f t="shared" si="2"/>
        <v>1.0000000000000019E-19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3.27</vt:lpstr>
      <vt:lpstr>3.29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Гаджиева</dc:creator>
  <cp:lastModifiedBy>Анна Гаджиева</cp:lastModifiedBy>
  <dcterms:created xsi:type="dcterms:W3CDTF">2015-06-05T18:19:34Z</dcterms:created>
  <dcterms:modified xsi:type="dcterms:W3CDTF">2025-11-05T21:52:54Z</dcterms:modified>
</cp:coreProperties>
</file>